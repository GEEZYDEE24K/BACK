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Inicial" sheetId="1" state="visible" r:id="rId3"/>
    <sheet name="Resumen" sheetId="2" state="visible" r:id="rId4"/>
  </sheets>
  <definedNames>
    <definedName function="false" hidden="true" localSheetId="0" name="_xlnm._FilterDatabase" vbProcedure="false">'Backlog Inicial'!$A$1:$J$34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<sst xmlns="http://schemas.openxmlformats.org/spreadsheetml/2006/main" count="328" uniqueCount="153">
  <si>
    <t xml:space="preserve">ID</t>
  </si>
  <si>
    <t xml:space="preserve">Tipo</t>
  </si>
  <si>
    <t xml:space="preserve">Modulo / Epica</t>
  </si>
  <si>
    <t xml:space="preserve">RF relacionado</t>
  </si>
  <si>
    <t xml:space="preserve">Historia de usuario</t>
  </si>
  <si>
    <t xml:space="preserve">Criterios de aceptacion</t>
  </si>
  <si>
    <t xml:space="preserve">Prioridad</t>
  </si>
  <si>
    <t xml:space="preserve">Estimacion (SP)</t>
  </si>
  <si>
    <t xml:space="preserve">Depende de</t>
  </si>
  <si>
    <t xml:space="preserve">Estado</t>
  </si>
  <si>
    <t xml:space="preserve">HU-01</t>
  </si>
  <si>
    <t xml:space="preserve">Autenticacion</t>
  </si>
  <si>
    <t xml:space="preserve">RF-01</t>
  </si>
  <si>
    <t xml:space="preserve">Como estudiante no registrado, quiero crear una cuenta con mi correo institucional para poder acceder a la plataforma.</t>
  </si>
  <si>
    <t xml:space="preserve">El formulario solo acepta correos del dominio institucional; se muestra un mensaje claro si el correo no es valido; la cuenta queda en estado pendiente de verificacion.</t>
  </si>
  <si>
    <t xml:space="preserve">Alta</t>
  </si>
  <si>
    <t xml:space="preserve">HT-01</t>
  </si>
  <si>
    <t xml:space="preserve">Backlog</t>
  </si>
  <si>
    <t xml:space="preserve">HU-02</t>
  </si>
  <si>
    <t xml:space="preserve">Como estudiante registrado, quiero recibir un codigo OTP en mi correo para verificar mi identidad.</t>
  </si>
  <si>
    <t xml:space="preserve">Se envia un codigo de un solo uso al correo institucional; el codigo expira despues de un tiempo definido; existe opcion de reenvio.</t>
  </si>
  <si>
    <t xml:space="preserve">HU-03</t>
  </si>
  <si>
    <t xml:space="preserve">Como estudiante verificado, quiero iniciar sesion con mis credenciales para acceder a mi cuenta.</t>
  </si>
  <si>
    <t xml:space="preserve">Un login correcto retorna un token JWT; un login incorrecto muestra un mensaje de error sin revelar cual dato fallo.</t>
  </si>
  <si>
    <t xml:space="preserve">HU-04</t>
  </si>
  <si>
    <t xml:space="preserve">RF-01 / RNF-01</t>
  </si>
  <si>
    <t xml:space="preserve">Como usuario autenticado, quiero que el sistema gestione y valide mis tokens JWT para que mis operaciones privadas queden protegidas.</t>
  </si>
  <si>
    <t xml:space="preserve">Las rutas protegidas rechazan solicitudes sin token o con token invalido/expirado; el token incluye el rol del usuario.</t>
  </si>
  <si>
    <t xml:space="preserve">HU-05</t>
  </si>
  <si>
    <t xml:space="preserve">Usuarios / Perfiles</t>
  </si>
  <si>
    <t xml:space="preserve">RF-02</t>
  </si>
  <si>
    <t xml:space="preserve">Como usuario, quiero ver y editar la informacion basica de mi perfil para mantenerla actualizada.</t>
  </si>
  <si>
    <t xml:space="preserve">Puedo editar nombre, programa/area y tipo de usuario; los cambios se guardan y se reflejan de inmediato en el perfil.</t>
  </si>
  <si>
    <t xml:space="preserve">HU-06</t>
  </si>
  <si>
    <t xml:space="preserve">Como usuario, quiero que mi perfil muestre mi estado de verificacion institucional para generar confianza con otros usuarios.</t>
  </si>
  <si>
    <t xml:space="preserve">El perfil muestra un indicador visible de 'Comunidad USB verificada' cuando corresponde.</t>
  </si>
  <si>
    <t xml:space="preserve">Media</t>
  </si>
  <si>
    <t xml:space="preserve">HU-07</t>
  </si>
  <si>
    <t xml:space="preserve">Como usuario, quiero consultar mi historial de trueques realizados para llevar seguimiento de mis intercambios.</t>
  </si>
  <si>
    <t xml:space="preserve">El historial lista los trueques completados con fecha y contraparte; se ordena del mas reciente al mas antiguo.</t>
  </si>
  <si>
    <t xml:space="preserve">HU-08</t>
  </si>
  <si>
    <t xml:space="preserve">RF-02 / RF-08</t>
  </si>
  <si>
    <t xml:space="preserve">Como usuario, quiero ver las resenas que he recibido en mi perfil para conocer mi reputacion.</t>
  </si>
  <si>
    <t xml:space="preserve">Las resenas visibles respetan las reglas de privacidad definidas; se muestra el nombre del autor de cada resena.</t>
  </si>
  <si>
    <t xml:space="preserve">HU-09</t>
  </si>
  <si>
    <t xml:space="preserve">Publicaciones</t>
  </si>
  <si>
    <t xml:space="preserve">RF-03</t>
  </si>
  <si>
    <t xml:space="preserve">Como usuario, quiero publicar un libro que ofrezco, indicando titulo, autor, ISBN, edicion, categoria, estado y fotos, para que otros usuarios lo encuentren.</t>
  </si>
  <si>
    <t xml:space="preserve">El formulario exige como minimo titulo, autor, categoria y una foto; la publicacion queda visible en el listado tras guardarse.</t>
  </si>
  <si>
    <t xml:space="preserve">HU-10</t>
  </si>
  <si>
    <t xml:space="preserve">Como usuario, quiero editar una publicacion existente para corregir o actualizar su informacion.</t>
  </si>
  <si>
    <t xml:space="preserve">Solo el propietario puede editar la publicacion; los cambios se reflejan de inmediato en el listado.</t>
  </si>
  <si>
    <t xml:space="preserve">HU-11</t>
  </si>
  <si>
    <t xml:space="preserve">Como usuario, quiero eliminar una publicacion que ya no esta disponible para mantener el listado actualizado.</t>
  </si>
  <si>
    <t xml:space="preserve">Solo el propietario puede eliminar su publicacion; la publicacion deja de aparecer en busquedas y matches.</t>
  </si>
  <si>
    <t xml:space="preserve">Baja</t>
  </si>
  <si>
    <t xml:space="preserve">HU-12</t>
  </si>
  <si>
    <t xml:space="preserve">RF-04</t>
  </si>
  <si>
    <t xml:space="preserve">Como usuario, quiero indicar el libro o tipo de libro que busco para que el sistema pueda encontrarme coincidencias.</t>
  </si>
  <si>
    <t xml:space="preserve">El campo 'libro buscado' es obligatorio para participar en el matching; acepta titulo especifico o categoria general.</t>
  </si>
  <si>
    <t xml:space="preserve">HU-13</t>
  </si>
  <si>
    <t xml:space="preserve">Matching</t>
  </si>
  <si>
    <t xml:space="preserve">RF-05</t>
  </si>
  <si>
    <t xml:space="preserve">Como usuario, quiero ver coincidencias exactas entre lo que busco y lo que otros ofrecen para encontrar trueques relevantes.</t>
  </si>
  <si>
    <t xml:space="preserve">El sistema identifica publicaciones cuyo titulo/autor coincide exactamente con lo buscado y las muestra en una lista de matches.</t>
  </si>
  <si>
    <t xml:space="preserve">HU-14</t>
  </si>
  <si>
    <t xml:space="preserve">Como usuario, quiero ver coincidencias similares cuando no exista una coincidencia exacta para ampliar mis opciones de trueque.</t>
  </si>
  <si>
    <t xml:space="preserve">El sistema sugiere publicaciones de la misma categoria o con titulo/descripcion similar cuando no hay match exacto.</t>
  </si>
  <si>
    <t xml:space="preserve">HU-15</t>
  </si>
  <si>
    <t xml:space="preserve">Como usuario, quiero ver una puntuacion de compatibilidad en cada coincidencia para decidir cual trueque perseguir.</t>
  </si>
  <si>
    <t xml:space="preserve">Cada match muestra un porcentaje o puntuacion calculada a partir de los atributos comparados; los matches se ordenan por puntuacion.</t>
  </si>
  <si>
    <t xml:space="preserve">HU-13 / HU-14</t>
  </si>
  <si>
    <t xml:space="preserve">HU-16</t>
  </si>
  <si>
    <t xml:space="preserve">Como usuario, quiero recibir recomendaciones de publicaciones relacionadas con lo que busco, aunque no haya iniciado una busqueda activa.</t>
  </si>
  <si>
    <t xml:space="preserve">El sistema muestra una seccion de recomendaciones basada en mis publicaciones y busquedas registradas.</t>
  </si>
  <si>
    <t xml:space="preserve">HU-17</t>
  </si>
  <si>
    <t xml:space="preserve">Trueques</t>
  </si>
  <si>
    <t xml:space="preserve">RF-06</t>
  </si>
  <si>
    <t xml:space="preserve">Como usuario, quiero proponer un trueque a partir de una coincidencia para iniciar un intercambio.</t>
  </si>
  <si>
    <t xml:space="preserve">Al proponer, se crea un registro de trueque en estado 'propuesto' visible para ambas partes.</t>
  </si>
  <si>
    <t xml:space="preserve">HU-18</t>
  </si>
  <si>
    <t xml:space="preserve">Como usuario, quiero aceptar o rechazar una propuesta de trueque recibida.</t>
  </si>
  <si>
    <t xml:space="preserve">Al aceptar, el estado cambia a 'confirmado'; al rechazar, cambia a 'rechazado' y se notifica al proponente.</t>
  </si>
  <si>
    <t xml:space="preserve">HU-19</t>
  </si>
  <si>
    <t xml:space="preserve">Como usuario, quiero que al confirmarse un trueque se habilite automaticamente el chat asociado para poder coordinar el intercambio.</t>
  </si>
  <si>
    <t xml:space="preserve">El chat se habilita automaticamente en cuanto el trueque pasa a estado 'confirmado'; ambos usuarios pueden enviar mensajes desde ese momento.</t>
  </si>
  <si>
    <t xml:space="preserve">HU-20</t>
  </si>
  <si>
    <t xml:space="preserve">Como usuario, quiero marcar un trueque como completado una vez realizado el intercambio fisico.</t>
  </si>
  <si>
    <t xml:space="preserve">Cualquiera de las dos partes puede marcar el trueque como completado; al hacerlo se habilita la opcion de valoracion.</t>
  </si>
  <si>
    <t xml:space="preserve">HU-21</t>
  </si>
  <si>
    <t xml:space="preserve">Chat</t>
  </si>
  <si>
    <t xml:space="preserve">(soporte a RF-06)</t>
  </si>
  <si>
    <t xml:space="preserve">Como usuario, quiero chatear con la otra persona una vez confirmado el trueque para coordinar el intercambio.</t>
  </si>
  <si>
    <t xml:space="preserve">El chat solo esta disponible entre las dos partes de un trueque confirmado; los mensajes se muestran en orden cronologico.</t>
  </si>
  <si>
    <t xml:space="preserve">HU-22</t>
  </si>
  <si>
    <t xml:space="preserve">Como usuario, quiero consultar el historial de mensajes de una conversacion asociada a un trueque.</t>
  </si>
  <si>
    <t xml:space="preserve">El historial se mantiene disponible mientras el trueque exista; los mensajes nuevos se reciben sin recargar la pagina.</t>
  </si>
  <si>
    <t xml:space="preserve">HU-23</t>
  </si>
  <si>
    <t xml:space="preserve">Reputacion / Valoraciones</t>
  </si>
  <si>
    <t xml:space="preserve">RF-07</t>
  </si>
  <si>
    <t xml:space="preserve">Como usuario, quiero calificar con estrellas a la otra persona despues de completar un trueque.</t>
  </si>
  <si>
    <t xml:space="preserve">La calificacion (1 a 5 estrellas) solo puede registrarse una vez por trueque completado y por usuario.</t>
  </si>
  <si>
    <t xml:space="preserve">HU-24</t>
  </si>
  <si>
    <t xml:space="preserve">Como usuario, quiero escribir una breve resena sobre mi experiencia con la otra persona.</t>
  </si>
  <si>
    <t xml:space="preserve">La resena se guarda junto con la calificacion y queda asociada al perfil de la persona calificada.</t>
  </si>
  <si>
    <t xml:space="preserve">HU-25</t>
  </si>
  <si>
    <t xml:space="preserve">RF-08</t>
  </si>
  <si>
    <t xml:space="preserve">Como usuario, quiero ver el promedio de calificacion de otro usuario antes de proponer un trueque.</t>
  </si>
  <si>
    <t xml:space="preserve">El perfil muestra el promedio de estrellas y el numero de intercambios completados de forma visible.</t>
  </si>
  <si>
    <t xml:space="preserve">HU-23 / HU-24</t>
  </si>
  <si>
    <t xml:space="preserve">HU-26</t>
  </si>
  <si>
    <t xml:space="preserve">Administracion</t>
  </si>
  <si>
    <t xml:space="preserve">(rol admin)</t>
  </si>
  <si>
    <t xml:space="preserve">Como administrador, quiero consultar y gestionar los usuarios registrados para mantener el control de la plataforma.</t>
  </si>
  <si>
    <t xml:space="preserve">El panel lista los usuarios con su estado; solo usuarios con rol administrador pueden acceder a esta vista.</t>
  </si>
  <si>
    <t xml:space="preserve">HU-27</t>
  </si>
  <si>
    <t xml:space="preserve">Como administrador, quiero bloquear o desbloquear usuarios que incumplan las normas de la plataforma.</t>
  </si>
  <si>
    <t xml:space="preserve">Un usuario bloqueado no puede iniciar sesion; la accion queda registrada con fecha y administrador responsable.</t>
  </si>
  <si>
    <t xml:space="preserve">HU-28</t>
  </si>
  <si>
    <t xml:space="preserve">Como administrador, quiero consultar las publicaciones reportadas para revisarlas.</t>
  </si>
  <si>
    <t xml:space="preserve">El panel lista los reportes pendientes con el motivo y la publicacion asociada.</t>
  </si>
  <si>
    <t xml:space="preserve">HU-29</t>
  </si>
  <si>
    <t xml:space="preserve">Como administrador, quiero mantener o eliminar una publicacion reportada despues de revisarla.</t>
  </si>
  <si>
    <t xml:space="preserve">La decision (mantener/eliminar) actualiza el estado del reporte y, si aplica, retira la publicacion del listado publico.</t>
  </si>
  <si>
    <t xml:space="preserve">Tecnica / Enabler</t>
  </si>
  <si>
    <t xml:space="preserve">Historias Tecnicas / Enablers</t>
  </si>
  <si>
    <t xml:space="preserve">RNF-06</t>
  </si>
  <si>
    <t xml:space="preserve">Como equipo de desarrollo, quiero disenar el esquema de base de datos de usuarios en PostgreSQL para soportar autenticacion y perfiles.</t>
  </si>
  <si>
    <t xml:space="preserve">El modelo entidad-relacion cubre usuarios, roles y estado de verificacion; queda documentado y validado por el equipo.</t>
  </si>
  <si>
    <t xml:space="preserve">-</t>
  </si>
  <si>
    <t xml:space="preserve">HT-02</t>
  </si>
  <si>
    <t xml:space="preserve">(apoyo a Semana 1)</t>
  </si>
  <si>
    <t xml:space="preserve">Como equipo de desarrollo, quiero construir un prototipo no funcional en Figma adaptable a al menos tres dispositivos para validar la experiencia de usuario.</t>
  </si>
  <si>
    <t xml:space="preserve">El prototipo cubre registro, publicacion, matching, trueque, chat y valoracion; se visualiza correctamente en escritorio, tablet y celular.</t>
  </si>
  <si>
    <t xml:space="preserve">HT-03</t>
  </si>
  <si>
    <t xml:space="preserve">Como equipo de desarrollo, quiero redactar la documentacion tecnica inicial (manual tecnico y de usuario) para dejar registro de las decisiones tomadas.</t>
  </si>
  <si>
    <t xml:space="preserve">El documento describe arquitectura, modulos, tecnologias y flujos principales; es revisado y aprobado por el equipo.</t>
  </si>
  <si>
    <t xml:space="preserve">HT-01 / HT-02</t>
  </si>
  <si>
    <t xml:space="preserve">HT-04</t>
  </si>
  <si>
    <t xml:space="preserve">RNF-01</t>
  </si>
  <si>
    <t xml:space="preserve">Como equipo de desarrollo, quiero validar los datos de entrada con Pydantic en cada endpoint para evitar informacion inconsistente en la base de datos.</t>
  </si>
  <si>
    <t xml:space="preserve">Todos los endpoints de escritura validan tipo, formato y campos obligatorios; los errores de validacion retornan un mensaje claro.</t>
  </si>
  <si>
    <t xml:space="preserve">Resumen del Backlog Inicial</t>
  </si>
  <si>
    <t xml:space="preserve">Proyecto</t>
  </si>
  <si>
    <t xml:space="preserve">Plataforma de Trueque Estudiantil</t>
  </si>
  <si>
    <t xml:space="preserve">Metodologia</t>
  </si>
  <si>
    <t xml:space="preserve">Agil - Scrumban (Kanban)</t>
  </si>
  <si>
    <t xml:space="preserve">Total de elementos del backlog</t>
  </si>
  <si>
    <t xml:space="preserve">  - Historias de usuario</t>
  </si>
  <si>
    <t xml:space="preserve">  - Historias tecnicas / enablers</t>
  </si>
  <si>
    <t xml:space="preserve">Total de puntos de historia (SP)</t>
  </si>
  <si>
    <t xml:space="preserve">N.º de elementos</t>
  </si>
  <si>
    <t xml:space="preserve">Puntos (SP)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</si>
</sst>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4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6.25" hidden="false" customHeight="false" outlineLevel="0" collapsed="false">
      <c r="A2" s="2" t="s">
        <v>10</v>
      </c>
      <c r="B2" s="3" t="s">
        <v>4</v>
      </c>
      <c r="C2" s="2" t="s">
        <v>11</v>
      </c>
      <c r="D2" s="2" t="s">
        <v>12</v>
      </c>
      <c r="E2" s="4" t="s">
        <v>13</v>
      </c>
      <c r="F2" s="4" t="s">
        <v>14</v>
      </c>
      <c r="G2" s="5" t="s">
        <v>15</v>
      </c>
      <c r="H2" s="6" t="n">
        <v>5</v>
      </c>
      <c r="I2" s="6" t="s">
        <v>16</v>
      </c>
      <c r="J2" s="6" t="s">
        <v>17</v>
      </c>
    </row>
    <row r="3" customFormat="false" ht="35.05" hidden="false" customHeight="false" outlineLevel="0" collapsed="false">
      <c r="A3" s="4" t="s">
        <v>18</v>
      </c>
      <c r="B3" s="3" t="s">
        <v>4</v>
      </c>
      <c r="C3" s="4" t="s">
        <v>11</v>
      </c>
      <c r="D3" s="4" t="s">
        <v>12</v>
      </c>
      <c r="E3" s="4" t="s">
        <v>19</v>
      </c>
      <c r="F3" s="4" t="s">
        <v>20</v>
      </c>
      <c r="G3" s="5" t="s">
        <v>15</v>
      </c>
      <c r="H3" s="6" t="n">
        <v>5</v>
      </c>
      <c r="I3" s="6" t="s">
        <v>10</v>
      </c>
      <c r="J3" s="6" t="s">
        <v>17</v>
      </c>
    </row>
    <row r="4" customFormat="false" ht="35.05" hidden="false" customHeight="false" outlineLevel="0" collapsed="false">
      <c r="A4" s="2" t="s">
        <v>21</v>
      </c>
      <c r="B4" s="3" t="s">
        <v>4</v>
      </c>
      <c r="C4" s="2" t="s">
        <v>11</v>
      </c>
      <c r="D4" s="2" t="s">
        <v>12</v>
      </c>
      <c r="E4" s="4" t="s">
        <v>22</v>
      </c>
      <c r="F4" s="4" t="s">
        <v>23</v>
      </c>
      <c r="G4" s="5" t="s">
        <v>15</v>
      </c>
      <c r="H4" s="6" t="n">
        <v>3</v>
      </c>
      <c r="I4" s="6" t="s">
        <v>18</v>
      </c>
      <c r="J4" s="6" t="s">
        <v>17</v>
      </c>
    </row>
    <row r="5" customFormat="false" ht="35.05" hidden="false" customHeight="false" outlineLevel="0" collapsed="false">
      <c r="A5" s="4" t="s">
        <v>24</v>
      </c>
      <c r="B5" s="3" t="s">
        <v>4</v>
      </c>
      <c r="C5" s="4" t="s">
        <v>11</v>
      </c>
      <c r="D5" s="4" t="s">
        <v>25</v>
      </c>
      <c r="E5" s="4" t="s">
        <v>26</v>
      </c>
      <c r="F5" s="4" t="s">
        <v>27</v>
      </c>
      <c r="G5" s="5" t="s">
        <v>15</v>
      </c>
      <c r="H5" s="6" t="n">
        <v>5</v>
      </c>
      <c r="I5" s="6" t="s">
        <v>21</v>
      </c>
      <c r="J5" s="6" t="s">
        <v>17</v>
      </c>
    </row>
    <row r="6" customFormat="false" ht="35.05" hidden="false" customHeight="false" outlineLevel="0" collapsed="false">
      <c r="A6" s="2" t="s">
        <v>28</v>
      </c>
      <c r="B6" s="3" t="s">
        <v>4</v>
      </c>
      <c r="C6" s="2" t="s">
        <v>29</v>
      </c>
      <c r="D6" s="2" t="s">
        <v>30</v>
      </c>
      <c r="E6" s="4" t="s">
        <v>31</v>
      </c>
      <c r="F6" s="4" t="s">
        <v>32</v>
      </c>
      <c r="G6" s="5" t="s">
        <v>15</v>
      </c>
      <c r="H6" s="6" t="n">
        <v>3</v>
      </c>
      <c r="I6" s="6" t="s">
        <v>24</v>
      </c>
      <c r="J6" s="6" t="s">
        <v>17</v>
      </c>
    </row>
    <row r="7" customFormat="false" ht="35.05" hidden="false" customHeight="false" outlineLevel="0" collapsed="false">
      <c r="A7" s="4" t="s">
        <v>33</v>
      </c>
      <c r="B7" s="3" t="s">
        <v>4</v>
      </c>
      <c r="C7" s="4" t="s">
        <v>29</v>
      </c>
      <c r="D7" s="4" t="s">
        <v>30</v>
      </c>
      <c r="E7" s="4" t="s">
        <v>34</v>
      </c>
      <c r="F7" s="4" t="s">
        <v>35</v>
      </c>
      <c r="G7" s="7" t="s">
        <v>36</v>
      </c>
      <c r="H7" s="6" t="n">
        <v>2</v>
      </c>
      <c r="I7" s="6" t="s">
        <v>28</v>
      </c>
      <c r="J7" s="6" t="s">
        <v>17</v>
      </c>
    </row>
    <row r="8" customFormat="false" ht="35.05" hidden="false" customHeight="false" outlineLevel="0" collapsed="false">
      <c r="A8" s="2" t="s">
        <v>37</v>
      </c>
      <c r="B8" s="3" t="s">
        <v>4</v>
      </c>
      <c r="C8" s="2" t="s">
        <v>29</v>
      </c>
      <c r="D8" s="2" t="s">
        <v>30</v>
      </c>
      <c r="E8" s="4" t="s">
        <v>38</v>
      </c>
      <c r="F8" s="4" t="s">
        <v>39</v>
      </c>
      <c r="G8" s="7" t="s">
        <v>36</v>
      </c>
      <c r="H8" s="6" t="n">
        <v>3</v>
      </c>
      <c r="I8" s="6" t="s">
        <v>28</v>
      </c>
      <c r="J8" s="6" t="s">
        <v>17</v>
      </c>
    </row>
    <row r="9" customFormat="false" ht="35.05" hidden="false" customHeight="false" outlineLevel="0" collapsed="false">
      <c r="A9" s="4" t="s">
        <v>40</v>
      </c>
      <c r="B9" s="3" t="s">
        <v>4</v>
      </c>
      <c r="C9" s="4" t="s">
        <v>29</v>
      </c>
      <c r="D9" s="4" t="s">
        <v>41</v>
      </c>
      <c r="E9" s="4" t="s">
        <v>42</v>
      </c>
      <c r="F9" s="4" t="s">
        <v>43</v>
      </c>
      <c r="G9" s="7" t="s">
        <v>36</v>
      </c>
      <c r="H9" s="6" t="n">
        <v>2</v>
      </c>
      <c r="I9" s="6" t="s">
        <v>28</v>
      </c>
      <c r="J9" s="6" t="s">
        <v>17</v>
      </c>
    </row>
    <row r="10" customFormat="false" ht="35.05" hidden="false" customHeight="false" outlineLevel="0" collapsed="false">
      <c r="A10" s="2" t="s">
        <v>44</v>
      </c>
      <c r="B10" s="3" t="s">
        <v>4</v>
      </c>
      <c r="C10" s="2" t="s">
        <v>45</v>
      </c>
      <c r="D10" s="2" t="s">
        <v>46</v>
      </c>
      <c r="E10" s="4" t="s">
        <v>47</v>
      </c>
      <c r="F10" s="4" t="s">
        <v>48</v>
      </c>
      <c r="G10" s="5" t="s">
        <v>15</v>
      </c>
      <c r="H10" s="6" t="n">
        <v>5</v>
      </c>
      <c r="I10" s="6" t="s">
        <v>28</v>
      </c>
      <c r="J10" s="6" t="s">
        <v>17</v>
      </c>
    </row>
    <row r="11" customFormat="false" ht="23.85" hidden="false" customHeight="false" outlineLevel="0" collapsed="false">
      <c r="A11" s="4" t="s">
        <v>49</v>
      </c>
      <c r="B11" s="3" t="s">
        <v>4</v>
      </c>
      <c r="C11" s="4" t="s">
        <v>45</v>
      </c>
      <c r="D11" s="4" t="s">
        <v>46</v>
      </c>
      <c r="E11" s="4" t="s">
        <v>50</v>
      </c>
      <c r="F11" s="4" t="s">
        <v>51</v>
      </c>
      <c r="G11" s="7" t="s">
        <v>36</v>
      </c>
      <c r="H11" s="6" t="n">
        <v>3</v>
      </c>
      <c r="I11" s="6" t="s">
        <v>44</v>
      </c>
      <c r="J11" s="6" t="s">
        <v>17</v>
      </c>
    </row>
    <row r="12" customFormat="false" ht="35.05" hidden="false" customHeight="false" outlineLevel="0" collapsed="false">
      <c r="A12" s="2" t="s">
        <v>52</v>
      </c>
      <c r="B12" s="3" t="s">
        <v>4</v>
      </c>
      <c r="C12" s="2" t="s">
        <v>45</v>
      </c>
      <c r="D12" s="2" t="s">
        <v>46</v>
      </c>
      <c r="E12" s="4" t="s">
        <v>53</v>
      </c>
      <c r="F12" s="4" t="s">
        <v>54</v>
      </c>
      <c r="G12" s="8" t="s">
        <v>55</v>
      </c>
      <c r="H12" s="6" t="n">
        <v>2</v>
      </c>
      <c r="I12" s="6" t="s">
        <v>44</v>
      </c>
      <c r="J12" s="6" t="s">
        <v>17</v>
      </c>
    </row>
    <row r="13" customFormat="false" ht="35.05" hidden="false" customHeight="false" outlineLevel="0" collapsed="false">
      <c r="A13" s="4" t="s">
        <v>56</v>
      </c>
      <c r="B13" s="3" t="s">
        <v>4</v>
      </c>
      <c r="C13" s="4" t="s">
        <v>45</v>
      </c>
      <c r="D13" s="4" t="s">
        <v>57</v>
      </c>
      <c r="E13" s="4" t="s">
        <v>58</v>
      </c>
      <c r="F13" s="4" t="s">
        <v>59</v>
      </c>
      <c r="G13" s="5" t="s">
        <v>15</v>
      </c>
      <c r="H13" s="6" t="n">
        <v>3</v>
      </c>
      <c r="I13" s="6" t="s">
        <v>44</v>
      </c>
      <c r="J13" s="6" t="s">
        <v>17</v>
      </c>
    </row>
    <row r="14" customFormat="false" ht="35.05" hidden="false" customHeight="false" outlineLevel="0" collapsed="false">
      <c r="A14" s="2" t="s">
        <v>60</v>
      </c>
      <c r="B14" s="3" t="s">
        <v>4</v>
      </c>
      <c r="C14" s="2" t="s">
        <v>61</v>
      </c>
      <c r="D14" s="2" t="s">
        <v>62</v>
      </c>
      <c r="E14" s="4" t="s">
        <v>63</v>
      </c>
      <c r="F14" s="4" t="s">
        <v>64</v>
      </c>
      <c r="G14" s="5" t="s">
        <v>15</v>
      </c>
      <c r="H14" s="6" t="n">
        <v>8</v>
      </c>
      <c r="I14" s="6" t="s">
        <v>56</v>
      </c>
      <c r="J14" s="6" t="s">
        <v>17</v>
      </c>
    </row>
    <row r="15" customFormat="false" ht="35.05" hidden="false" customHeight="false" outlineLevel="0" collapsed="false">
      <c r="A15" s="4" t="s">
        <v>65</v>
      </c>
      <c r="B15" s="3" t="s">
        <v>4</v>
      </c>
      <c r="C15" s="4" t="s">
        <v>61</v>
      </c>
      <c r="D15" s="4" t="s">
        <v>62</v>
      </c>
      <c r="E15" s="4" t="s">
        <v>66</v>
      </c>
      <c r="F15" s="4" t="s">
        <v>67</v>
      </c>
      <c r="G15" s="7" t="s">
        <v>36</v>
      </c>
      <c r="H15" s="6" t="n">
        <v>8</v>
      </c>
      <c r="I15" s="6" t="s">
        <v>60</v>
      </c>
      <c r="J15" s="6" t="s">
        <v>17</v>
      </c>
    </row>
    <row r="16" customFormat="false" ht="35.05" hidden="false" customHeight="false" outlineLevel="0" collapsed="false">
      <c r="A16" s="2" t="s">
        <v>68</v>
      </c>
      <c r="B16" s="3" t="s">
        <v>4</v>
      </c>
      <c r="C16" s="2" t="s">
        <v>61</v>
      </c>
      <c r="D16" s="2" t="s">
        <v>62</v>
      </c>
      <c r="E16" s="4" t="s">
        <v>69</v>
      </c>
      <c r="F16" s="4" t="s">
        <v>70</v>
      </c>
      <c r="G16" s="7" t="s">
        <v>36</v>
      </c>
      <c r="H16" s="6" t="n">
        <v>5</v>
      </c>
      <c r="I16" s="6" t="s">
        <v>71</v>
      </c>
      <c r="J16" s="6" t="s">
        <v>17</v>
      </c>
    </row>
    <row r="17" customFormat="false" ht="35.05" hidden="false" customHeight="false" outlineLevel="0" collapsed="false">
      <c r="A17" s="4" t="s">
        <v>72</v>
      </c>
      <c r="B17" s="3" t="s">
        <v>4</v>
      </c>
      <c r="C17" s="4" t="s">
        <v>61</v>
      </c>
      <c r="D17" s="4" t="s">
        <v>62</v>
      </c>
      <c r="E17" s="4" t="s">
        <v>73</v>
      </c>
      <c r="F17" s="4" t="s">
        <v>74</v>
      </c>
      <c r="G17" s="8" t="s">
        <v>55</v>
      </c>
      <c r="H17" s="6" t="n">
        <v>5</v>
      </c>
      <c r="I17" s="6" t="s">
        <v>68</v>
      </c>
      <c r="J17" s="6" t="s">
        <v>17</v>
      </c>
    </row>
    <row r="18" customFormat="false" ht="23.85" hidden="false" customHeight="false" outlineLevel="0" collapsed="false">
      <c r="A18" s="2" t="s">
        <v>75</v>
      </c>
      <c r="B18" s="3" t="s">
        <v>4</v>
      </c>
      <c r="C18" s="2" t="s">
        <v>76</v>
      </c>
      <c r="D18" s="2" t="s">
        <v>77</v>
      </c>
      <c r="E18" s="4" t="s">
        <v>78</v>
      </c>
      <c r="F18" s="4" t="s">
        <v>79</v>
      </c>
      <c r="G18" s="5" t="s">
        <v>15</v>
      </c>
      <c r="H18" s="6" t="n">
        <v>5</v>
      </c>
      <c r="I18" s="6" t="s">
        <v>68</v>
      </c>
      <c r="J18" s="6" t="s">
        <v>17</v>
      </c>
    </row>
    <row r="19" customFormat="false" ht="35.05" hidden="false" customHeight="false" outlineLevel="0" collapsed="false">
      <c r="A19" s="4" t="s">
        <v>80</v>
      </c>
      <c r="B19" s="3" t="s">
        <v>4</v>
      </c>
      <c r="C19" s="4" t="s">
        <v>76</v>
      </c>
      <c r="D19" s="4" t="s">
        <v>77</v>
      </c>
      <c r="E19" s="4" t="s">
        <v>81</v>
      </c>
      <c r="F19" s="4" t="s">
        <v>82</v>
      </c>
      <c r="G19" s="5" t="s">
        <v>15</v>
      </c>
      <c r="H19" s="6" t="n">
        <v>3</v>
      </c>
      <c r="I19" s="6" t="s">
        <v>75</v>
      </c>
      <c r="J19" s="6" t="s">
        <v>17</v>
      </c>
    </row>
    <row r="20" customFormat="false" ht="35.05" hidden="false" customHeight="false" outlineLevel="0" collapsed="false">
      <c r="A20" s="2" t="s">
        <v>83</v>
      </c>
      <c r="B20" s="3" t="s">
        <v>4</v>
      </c>
      <c r="C20" s="2" t="s">
        <v>76</v>
      </c>
      <c r="D20" s="2" t="s">
        <v>77</v>
      </c>
      <c r="E20" s="4" t="s">
        <v>84</v>
      </c>
      <c r="F20" s="4" t="s">
        <v>85</v>
      </c>
      <c r="G20" s="7" t="s">
        <v>36</v>
      </c>
      <c r="H20" s="6" t="n">
        <v>3</v>
      </c>
      <c r="I20" s="6" t="s">
        <v>80</v>
      </c>
      <c r="J20" s="6" t="s">
        <v>17</v>
      </c>
    </row>
    <row r="21" customFormat="false" ht="35.05" hidden="false" customHeight="false" outlineLevel="0" collapsed="false">
      <c r="A21" s="4" t="s">
        <v>86</v>
      </c>
      <c r="B21" s="3" t="s">
        <v>4</v>
      </c>
      <c r="C21" s="4" t="s">
        <v>76</v>
      </c>
      <c r="D21" s="4" t="s">
        <v>77</v>
      </c>
      <c r="E21" s="4" t="s">
        <v>87</v>
      </c>
      <c r="F21" s="4" t="s">
        <v>88</v>
      </c>
      <c r="G21" s="5" t="s">
        <v>15</v>
      </c>
      <c r="H21" s="6" t="n">
        <v>3</v>
      </c>
      <c r="I21" s="6" t="s">
        <v>89</v>
      </c>
      <c r="J21" s="6" t="s">
        <v>17</v>
      </c>
    </row>
    <row r="22" customFormat="false" ht="35.05" hidden="false" customHeight="false" outlineLevel="0" collapsed="false">
      <c r="A22" s="2" t="s">
        <v>89</v>
      </c>
      <c r="B22" s="3" t="s">
        <v>4</v>
      </c>
      <c r="C22" s="2" t="s">
        <v>90</v>
      </c>
      <c r="D22" s="2" t="s">
        <v>91</v>
      </c>
      <c r="E22" s="4" t="s">
        <v>92</v>
      </c>
      <c r="F22" s="4" t="s">
        <v>93</v>
      </c>
      <c r="G22" s="7" t="s">
        <v>36</v>
      </c>
      <c r="H22" s="6" t="n">
        <v>8</v>
      </c>
      <c r="I22" s="6" t="s">
        <v>83</v>
      </c>
      <c r="J22" s="6" t="s">
        <v>17</v>
      </c>
    </row>
    <row r="23" customFormat="false" ht="35.05" hidden="false" customHeight="false" outlineLevel="0" collapsed="false">
      <c r="A23" s="4" t="s">
        <v>94</v>
      </c>
      <c r="B23" s="3" t="s">
        <v>4</v>
      </c>
      <c r="C23" s="4" t="s">
        <v>90</v>
      </c>
      <c r="D23" s="4" t="s">
        <v>91</v>
      </c>
      <c r="E23" s="4" t="s">
        <v>95</v>
      </c>
      <c r="F23" s="4" t="s">
        <v>96</v>
      </c>
      <c r="G23" s="8" t="s">
        <v>55</v>
      </c>
      <c r="H23" s="6" t="n">
        <v>5</v>
      </c>
      <c r="I23" s="6" t="s">
        <v>89</v>
      </c>
      <c r="J23" s="6" t="s">
        <v>17</v>
      </c>
    </row>
    <row r="24" customFormat="false" ht="23.85" hidden="false" customHeight="false" outlineLevel="0" collapsed="false">
      <c r="A24" s="2" t="s">
        <v>97</v>
      </c>
      <c r="B24" s="3" t="s">
        <v>4</v>
      </c>
      <c r="C24" s="2" t="s">
        <v>98</v>
      </c>
      <c r="D24" s="2" t="s">
        <v>99</v>
      </c>
      <c r="E24" s="4" t="s">
        <v>100</v>
      </c>
      <c r="F24" s="4" t="s">
        <v>101</v>
      </c>
      <c r="G24" s="5" t="s">
        <v>15</v>
      </c>
      <c r="H24" s="6" t="n">
        <v>3</v>
      </c>
      <c r="I24" s="6" t="s">
        <v>86</v>
      </c>
      <c r="J24" s="6" t="s">
        <v>17</v>
      </c>
    </row>
    <row r="25" customFormat="false" ht="23.85" hidden="false" customHeight="false" outlineLevel="0" collapsed="false">
      <c r="A25" s="4" t="s">
        <v>102</v>
      </c>
      <c r="B25" s="3" t="s">
        <v>4</v>
      </c>
      <c r="C25" s="4" t="s">
        <v>98</v>
      </c>
      <c r="D25" s="4" t="s">
        <v>99</v>
      </c>
      <c r="E25" s="4" t="s">
        <v>103</v>
      </c>
      <c r="F25" s="4" t="s">
        <v>104</v>
      </c>
      <c r="G25" s="7" t="s">
        <v>36</v>
      </c>
      <c r="H25" s="6" t="n">
        <v>2</v>
      </c>
      <c r="I25" s="6" t="s">
        <v>86</v>
      </c>
      <c r="J25" s="6" t="s">
        <v>17</v>
      </c>
    </row>
    <row r="26" customFormat="false" ht="23.85" hidden="false" customHeight="false" outlineLevel="0" collapsed="false">
      <c r="A26" s="2" t="s">
        <v>105</v>
      </c>
      <c r="B26" s="3" t="s">
        <v>4</v>
      </c>
      <c r="C26" s="2" t="s">
        <v>98</v>
      </c>
      <c r="D26" s="2" t="s">
        <v>106</v>
      </c>
      <c r="E26" s="4" t="s">
        <v>107</v>
      </c>
      <c r="F26" s="4" t="s">
        <v>108</v>
      </c>
      <c r="G26" s="5" t="s">
        <v>15</v>
      </c>
      <c r="H26" s="6" t="n">
        <v>3</v>
      </c>
      <c r="I26" s="6" t="s">
        <v>109</v>
      </c>
      <c r="J26" s="6" t="s">
        <v>17</v>
      </c>
    </row>
    <row r="27" customFormat="false" ht="35.05" hidden="false" customHeight="false" outlineLevel="0" collapsed="false">
      <c r="A27" s="4" t="s">
        <v>110</v>
      </c>
      <c r="B27" s="3" t="s">
        <v>4</v>
      </c>
      <c r="C27" s="4" t="s">
        <v>111</v>
      </c>
      <c r="D27" s="4" t="s">
        <v>112</v>
      </c>
      <c r="E27" s="4" t="s">
        <v>113</v>
      </c>
      <c r="F27" s="4" t="s">
        <v>114</v>
      </c>
      <c r="G27" s="7" t="s">
        <v>36</v>
      </c>
      <c r="H27" s="6" t="n">
        <v>5</v>
      </c>
      <c r="I27" s="6" t="s">
        <v>24</v>
      </c>
      <c r="J27" s="6" t="s">
        <v>17</v>
      </c>
    </row>
    <row r="28" customFormat="false" ht="35.05" hidden="false" customHeight="false" outlineLevel="0" collapsed="false">
      <c r="A28" s="2" t="s">
        <v>115</v>
      </c>
      <c r="B28" s="3" t="s">
        <v>4</v>
      </c>
      <c r="C28" s="2" t="s">
        <v>111</v>
      </c>
      <c r="D28" s="2" t="s">
        <v>112</v>
      </c>
      <c r="E28" s="4" t="s">
        <v>116</v>
      </c>
      <c r="F28" s="4" t="s">
        <v>117</v>
      </c>
      <c r="G28" s="8" t="s">
        <v>55</v>
      </c>
      <c r="H28" s="6" t="n">
        <v>3</v>
      </c>
      <c r="I28" s="6" t="s">
        <v>110</v>
      </c>
      <c r="J28" s="6" t="s">
        <v>17</v>
      </c>
    </row>
    <row r="29" customFormat="false" ht="23.85" hidden="false" customHeight="false" outlineLevel="0" collapsed="false">
      <c r="A29" s="4" t="s">
        <v>118</v>
      </c>
      <c r="B29" s="3" t="s">
        <v>4</v>
      </c>
      <c r="C29" s="4" t="s">
        <v>111</v>
      </c>
      <c r="D29" s="4" t="s">
        <v>112</v>
      </c>
      <c r="E29" s="4" t="s">
        <v>119</v>
      </c>
      <c r="F29" s="4" t="s">
        <v>120</v>
      </c>
      <c r="G29" s="7" t="s">
        <v>36</v>
      </c>
      <c r="H29" s="6" t="n">
        <v>3</v>
      </c>
      <c r="I29" s="6" t="s">
        <v>44</v>
      </c>
      <c r="J29" s="6" t="s">
        <v>17</v>
      </c>
    </row>
    <row r="30" customFormat="false" ht="35.05" hidden="false" customHeight="false" outlineLevel="0" collapsed="false">
      <c r="A30" s="2" t="s">
        <v>121</v>
      </c>
      <c r="B30" s="3" t="s">
        <v>4</v>
      </c>
      <c r="C30" s="2" t="s">
        <v>111</v>
      </c>
      <c r="D30" s="2" t="s">
        <v>112</v>
      </c>
      <c r="E30" s="4" t="s">
        <v>122</v>
      </c>
      <c r="F30" s="4" t="s">
        <v>123</v>
      </c>
      <c r="G30" s="8" t="s">
        <v>55</v>
      </c>
      <c r="H30" s="6" t="n">
        <v>2</v>
      </c>
      <c r="I30" s="6" t="s">
        <v>118</v>
      </c>
      <c r="J30" s="6" t="s">
        <v>17</v>
      </c>
    </row>
    <row r="31" customFormat="false" ht="35.05" hidden="false" customHeight="false" outlineLevel="0" collapsed="false">
      <c r="A31" s="4" t="s">
        <v>16</v>
      </c>
      <c r="B31" s="9" t="s">
        <v>124</v>
      </c>
      <c r="C31" s="4" t="s">
        <v>125</v>
      </c>
      <c r="D31" s="4" t="s">
        <v>126</v>
      </c>
      <c r="E31" s="4" t="s">
        <v>127</v>
      </c>
      <c r="F31" s="4" t="s">
        <v>128</v>
      </c>
      <c r="G31" s="5" t="s">
        <v>15</v>
      </c>
      <c r="H31" s="6" t="n">
        <v>5</v>
      </c>
      <c r="I31" s="6" t="s">
        <v>129</v>
      </c>
      <c r="J31" s="6" t="s">
        <v>17</v>
      </c>
    </row>
    <row r="32" customFormat="false" ht="46.25" hidden="false" customHeight="false" outlineLevel="0" collapsed="false">
      <c r="A32" s="2" t="s">
        <v>130</v>
      </c>
      <c r="B32" s="9" t="s">
        <v>124</v>
      </c>
      <c r="C32" s="2" t="s">
        <v>125</v>
      </c>
      <c r="D32" s="2" t="s">
        <v>131</v>
      </c>
      <c r="E32" s="4" t="s">
        <v>132</v>
      </c>
      <c r="F32" s="4" t="s">
        <v>133</v>
      </c>
      <c r="G32" s="5" t="s">
        <v>15</v>
      </c>
      <c r="H32" s="6" t="n">
        <v>8</v>
      </c>
      <c r="I32" s="6" t="s">
        <v>129</v>
      </c>
      <c r="J32" s="6" t="s">
        <v>17</v>
      </c>
    </row>
    <row r="33" customFormat="false" ht="46.25" hidden="false" customHeight="false" outlineLevel="0" collapsed="false">
      <c r="A33" s="4" t="s">
        <v>134</v>
      </c>
      <c r="B33" s="9" t="s">
        <v>124</v>
      </c>
      <c r="C33" s="4" t="s">
        <v>125</v>
      </c>
      <c r="D33" s="4" t="s">
        <v>131</v>
      </c>
      <c r="E33" s="4" t="s">
        <v>135</v>
      </c>
      <c r="F33" s="4" t="s">
        <v>136</v>
      </c>
      <c r="G33" s="7" t="s">
        <v>36</v>
      </c>
      <c r="H33" s="6" t="n">
        <v>5</v>
      </c>
      <c r="I33" s="6" t="s">
        <v>137</v>
      </c>
      <c r="J33" s="6" t="s">
        <v>17</v>
      </c>
    </row>
    <row r="34" customFormat="false" ht="35.05" hidden="false" customHeight="false" outlineLevel="0" collapsed="false">
      <c r="A34" s="2" t="s">
        <v>138</v>
      </c>
      <c r="B34" s="9" t="s">
        <v>124</v>
      </c>
      <c r="C34" s="2" t="s">
        <v>125</v>
      </c>
      <c r="D34" s="2" t="s">
        <v>139</v>
      </c>
      <c r="E34" s="4" t="s">
        <v>140</v>
      </c>
      <c r="F34" s="4" t="s">
        <v>141</v>
      </c>
      <c r="G34" s="7" t="s">
        <v>36</v>
      </c>
      <c r="H34" s="6" t="n">
        <v>3</v>
      </c>
      <c r="I34" s="6" t="s">
        <v>16</v>
      </c>
      <c r="J34" s="6" t="s">
        <v>17</v>
      </c>
    </row>
  </sheetData>
  <autoFilter ref="A1:J34"/>
  <dataValidations count="3">
    <dataValidation allowBlank="false" errorStyle="stop" operator="between" showDropDown="false" showErrorMessage="false" showInputMessage="false" sqref="J2:J34" type="list">
      <formula1>"Backlog,Por hacer,En progreso,En revision,Completado"</formula1>
      <formula2>0</formula2>
    </dataValidation>
    <dataValidation allowBlank="false" errorStyle="stop" operator="between" showDropDown="false" showErrorMessage="false" showInputMessage="false" sqref="G2:G34" type="list">
      <formula1>"Alta,Media,Baja"</formula1>
      <formula2>0</formula2>
    </dataValidation>
    <dataValidation allowBlank="false" errorStyle="stop" operator="between" showDropDown="false" showErrorMessage="false" showInputMessage="false" sqref="B2:B34" type="list">
      <formula1>"Historia de usuario,Tecnica / Enabler"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0" t="s">
        <v>142</v>
      </c>
      <c r="B1" s="10"/>
      <c r="C1" s="10"/>
    </row>
    <row r="3" customFormat="false" ht="15" hidden="false" customHeight="false" outlineLevel="0" collapsed="false">
      <c r="A3" s="11" t="s">
        <v>143</v>
      </c>
      <c r="B3" s="12" t="s">
        <v>144</v>
      </c>
    </row>
    <row r="4" customFormat="false" ht="15" hidden="false" customHeight="false" outlineLevel="0" collapsed="false">
      <c r="A4" s="11" t="s">
        <v>145</v>
      </c>
      <c r="B4" s="12" t="s">
        <v>146</v>
      </c>
    </row>
    <row r="5" customFormat="false" ht="15" hidden="false" customHeight="false" outlineLevel="0" collapsed="false">
      <c r="A5" s="11" t="s">
        <v>147</v>
      </c>
      <c r="B5" s="12" t="n">
        <f aca="false">COUNTA('Backlog Inicial'!A2:A34)</f>
        <v>33</v>
      </c>
    </row>
    <row r="6" customFormat="false" ht="15" hidden="false" customHeight="false" outlineLevel="0" collapsed="false">
      <c r="A6" s="11" t="s">
        <v>148</v>
      </c>
      <c r="B6" s="12" t="n">
        <f aca="false">COUNTIF('Backlog Inicial'!B2:B34,"Historia de usuario")</f>
        <v>29</v>
      </c>
    </row>
    <row r="7" customFormat="false" ht="15" hidden="false" customHeight="false" outlineLevel="0" collapsed="false">
      <c r="A7" s="11" t="s">
        <v>149</v>
      </c>
      <c r="B7" s="12" t="n">
        <f aca="false">COUNTIF('Backlog Inicial'!B2:B34,"Tecnica / Enabler")</f>
        <v>4</v>
      </c>
    </row>
    <row r="8" customFormat="false" ht="15" hidden="false" customHeight="false" outlineLevel="0" collapsed="false">
      <c r="A8" s="11" t="s">
        <v>150</v>
      </c>
      <c r="B8" s="12" t="n">
        <f aca="false">SUM('Backlog Inicial'!H2:H34)</f>
        <v>136</v>
      </c>
    </row>
    <row r="10" customFormat="false" ht="15" hidden="false" customHeight="false" outlineLevel="0" collapsed="false">
      <c r="A10" s="13" t="s">
        <v>2</v>
      </c>
      <c r="B10" s="13" t="s">
        <v>151</v>
      </c>
      <c r="C10" s="13" t="s">
        <v>152</v>
      </c>
    </row>
    <row r="11" customFormat="false" ht="15" hidden="false" customHeight="false" outlineLevel="0" collapsed="false">
      <c r="A11" s="12" t="s">
        <v>11</v>
      </c>
      <c r="B11" s="14" t="n">
        <f aca="false">COUNTIF('Backlog Inicial'!C2:C34,A11)</f>
        <v>4</v>
      </c>
      <c r="C11" s="14" t="n">
        <f aca="false">SUMIF('Backlog Inicial'!C2:C34,A11,'Backlog Inicial'!H2:H34)</f>
        <v>18</v>
      </c>
    </row>
    <row r="12" customFormat="false" ht="15" hidden="false" customHeight="false" outlineLevel="0" collapsed="false">
      <c r="A12" s="12" t="s">
        <v>29</v>
      </c>
      <c r="B12" s="14" t="n">
        <f aca="false">COUNTIF('Backlog Inicial'!C2:C34,A12)</f>
        <v>4</v>
      </c>
      <c r="C12" s="14" t="n">
        <f aca="false">SUMIF('Backlog Inicial'!C2:C34,A12,'Backlog Inicial'!H2:H34)</f>
        <v>10</v>
      </c>
    </row>
    <row r="13" customFormat="false" ht="15" hidden="false" customHeight="false" outlineLevel="0" collapsed="false">
      <c r="A13" s="12" t="s">
        <v>45</v>
      </c>
      <c r="B13" s="14" t="n">
        <f aca="false">COUNTIF('Backlog Inicial'!C2:C34,A13)</f>
        <v>4</v>
      </c>
      <c r="C13" s="14" t="n">
        <f aca="false">SUMIF('Backlog Inicial'!C2:C34,A13,'Backlog Inicial'!H2:H34)</f>
        <v>13</v>
      </c>
    </row>
    <row r="14" customFormat="false" ht="15" hidden="false" customHeight="false" outlineLevel="0" collapsed="false">
      <c r="A14" s="12" t="s">
        <v>61</v>
      </c>
      <c r="B14" s="14" t="n">
        <f aca="false">COUNTIF('Backlog Inicial'!C2:C34,A14)</f>
        <v>4</v>
      </c>
      <c r="C14" s="14" t="n">
        <f aca="false">SUMIF('Backlog Inicial'!C2:C34,A14,'Backlog Inicial'!H2:H34)</f>
        <v>26</v>
      </c>
    </row>
    <row r="15" customFormat="false" ht="15" hidden="false" customHeight="false" outlineLevel="0" collapsed="false">
      <c r="A15" s="12" t="s">
        <v>76</v>
      </c>
      <c r="B15" s="14" t="n">
        <f aca="false">COUNTIF('Backlog Inicial'!C2:C34,A15)</f>
        <v>4</v>
      </c>
      <c r="C15" s="14" t="n">
        <f aca="false">SUMIF('Backlog Inicial'!C2:C34,A15,'Backlog Inicial'!H2:H34)</f>
        <v>14</v>
      </c>
    </row>
    <row r="16" customFormat="false" ht="15" hidden="false" customHeight="false" outlineLevel="0" collapsed="false">
      <c r="A16" s="12" t="s">
        <v>90</v>
      </c>
      <c r="B16" s="14" t="n">
        <f aca="false">COUNTIF('Backlog Inicial'!C2:C34,A16)</f>
        <v>2</v>
      </c>
      <c r="C16" s="14" t="n">
        <f aca="false">SUMIF('Backlog Inicial'!C2:C34,A16,'Backlog Inicial'!H2:H34)</f>
        <v>13</v>
      </c>
    </row>
    <row r="17" customFormat="false" ht="15" hidden="false" customHeight="false" outlineLevel="0" collapsed="false">
      <c r="A17" s="12" t="s">
        <v>98</v>
      </c>
      <c r="B17" s="14" t="n">
        <f aca="false">COUNTIF('Backlog Inicial'!C2:C34,A17)</f>
        <v>3</v>
      </c>
      <c r="C17" s="14" t="n">
        <f aca="false">SUMIF('Backlog Inicial'!C2:C34,A17,'Backlog Inicial'!H2:H34)</f>
        <v>8</v>
      </c>
    </row>
    <row r="18" customFormat="false" ht="15" hidden="false" customHeight="false" outlineLevel="0" collapsed="false">
      <c r="A18" s="12" t="s">
        <v>111</v>
      </c>
      <c r="B18" s="14" t="n">
        <f aca="false">COUNTIF('Backlog Inicial'!C2:C34,A18)</f>
        <v>4</v>
      </c>
      <c r="C18" s="14" t="n">
        <f aca="false">SUMIF('Backlog Inicial'!C2:C34,A18,'Backlog Inicial'!H2:H34)</f>
        <v>13</v>
      </c>
    </row>
    <row r="19" customFormat="false" ht="15" hidden="false" customHeight="false" outlineLevel="0" collapsed="false">
      <c r="A19" s="12" t="s">
        <v>125</v>
      </c>
      <c r="B19" s="14" t="n">
        <f aca="false">COUNTIF('Backlog Inicial'!C2:C34,A19)</f>
        <v>4</v>
      </c>
      <c r="C19" s="14" t="n">
        <f aca="false">SUMIF('Backlog Inicial'!C2:C34,A19,'Backlog Inicial'!H2:H34)</f>
        <v>21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2026-09-09T02:15:12Z</dcterms:created>
  <dc:creator>openpyxl</dc:creator>
  <dc:description/>
  <dc:language>en-US</dc:language>
  <cp:lastModifiedBy/>
  <dcterms:modified xsi:type="dcterms:W3CDTF">2026-09-09T02:15:12Z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